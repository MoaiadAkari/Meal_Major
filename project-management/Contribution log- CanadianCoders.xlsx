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<sst xmlns="http://schemas.openxmlformats.org/spreadsheetml/2006/main" count="68" uniqueCount="60">
  <si>
    <t>Group Contribution log SOEN341 project</t>
  </si>
  <si>
    <t>Names and ID: Colin Haller (40278545), Gabriel Gallant (40328473), Lizzie Nicole Gudiño Cabrera (40272383), Brice Bryan Iteka (40246704), Hirdayraj Singh Nanda (40305593)</t>
  </si>
  <si>
    <t>, Moaiad Akari (40328240)</t>
  </si>
  <si>
    <t>First Name</t>
  </si>
  <si>
    <t>Last Name</t>
  </si>
  <si>
    <t>Nickname</t>
  </si>
  <si>
    <t>GitHub Username</t>
  </si>
  <si>
    <t xml:space="preserve">Lizzie Nicole </t>
  </si>
  <si>
    <t xml:space="preserve">Gudiño Cabrera </t>
  </si>
  <si>
    <t>Lizzie</t>
  </si>
  <si>
    <t>lizziengc</t>
  </si>
  <si>
    <t>Brice Bryan</t>
  </si>
  <si>
    <t>Iteka</t>
  </si>
  <si>
    <t>Bryan</t>
  </si>
  <si>
    <t>Bryanoff</t>
  </si>
  <si>
    <t>Moaiad</t>
  </si>
  <si>
    <t>Akari</t>
  </si>
  <si>
    <t>MoaiadAkari</t>
  </si>
  <si>
    <t>Gabriel</t>
  </si>
  <si>
    <t>Gallant</t>
  </si>
  <si>
    <t>Gabe</t>
  </si>
  <si>
    <t>gabrielgallant</t>
  </si>
  <si>
    <t>Colin</t>
  </si>
  <si>
    <t>Haller</t>
  </si>
  <si>
    <t>C4ller</t>
  </si>
  <si>
    <t>Hirdayraj</t>
  </si>
  <si>
    <t>Nanda</t>
  </si>
  <si>
    <t>Hirday</t>
  </si>
  <si>
    <t>Activity Table</t>
  </si>
  <si>
    <t>Sprint 1: Hours Spent on Assigned Tasks</t>
  </si>
  <si>
    <t>Date</t>
  </si>
  <si>
    <t>Activity Type</t>
  </si>
  <si>
    <t>Hirdrayaj</t>
  </si>
  <si>
    <t>Group Meeting #1</t>
  </si>
  <si>
    <t>Lizzie created the Spint planning, came up with different US and drew the sketches for the wireframe</t>
  </si>
  <si>
    <t>Group Meeting #2</t>
  </si>
  <si>
    <t>Colin Researched DataBase Solutions</t>
  </si>
  <si>
    <t>Group Meeting #3</t>
  </si>
  <si>
    <t>Gabriel created wireframe in UXPin and added pages: login, registration, meal plan + learning html, css and js</t>
  </si>
  <si>
    <t>Colin set up the frontend environment</t>
  </si>
  <si>
    <t>Bryan researched and got familiar with backend framework (spring boot, gradle)</t>
  </si>
  <si>
    <t>Gabriel added profile display, profile editing, recipes and reset password page to UXPin</t>
  </si>
  <si>
    <t>Colin set up the rest of the environment</t>
  </si>
  <si>
    <t>Moaiad made a registration page (was discarded later)</t>
  </si>
  <si>
    <t xml:space="preserve">Gabriel coded homepage/meal plan page </t>
  </si>
  <si>
    <t>Lizzie created the sign up, reset password and create account website with js, html and css (issue #1)</t>
  </si>
  <si>
    <t>Colin completed his tasks and helped Bryan with environment setup</t>
  </si>
  <si>
    <t>Bryan completed his task (User story 4)</t>
  </si>
  <si>
    <t>Hirday completed his task for veryfying matching passwords and saving username and password in database during signup &amp; (issue #2)</t>
  </si>
  <si>
    <t>Group Meeting #4</t>
  </si>
  <si>
    <t>Hirday completed the task (with Colin) for having the option to reset the password with email (Issue #1)</t>
  </si>
  <si>
    <t>Moaiad made a user profile page that have the dietary information</t>
  </si>
  <si>
    <t xml:space="preserve">Lizzie and Moaiad discussed frontend linking styles </t>
  </si>
  <si>
    <t>Colin reviewed backend/ frontend linking with Lizzie</t>
  </si>
  <si>
    <t>2026-02-04 &amp; 2026-02-05</t>
  </si>
  <si>
    <t xml:space="preserve">Lizzie made the reset password page connected it to the link, added fetch functions to the sign up and login page, created the user information page </t>
  </si>
  <si>
    <t>Bryan reworked/updated user story 4 tasks to include all the user data and should be able to store multiple choices for each type of data</t>
  </si>
  <si>
    <t>Colin, Bryan and Hyrdrayaj had a meeting about merging the backend and testing the app</t>
  </si>
  <si>
    <t>Lizzie and Colin fixed the bugs between frontend/backend</t>
  </si>
  <si>
    <t>Total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</si>
</sst>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horizontal="center" readingOrder="0" vertical="bottom"/>
    </xf>
    <xf borderId="1" fillId="0" fontId="1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2" fillId="2" fontId="2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readingOrder="0" shrinkToFit="0" vertical="center" wrapText="1"/>
    </xf>
    <xf borderId="1" fillId="0" fontId="1" numFmtId="164" xfId="0" applyAlignment="1" applyBorder="1" applyFont="1" applyNumberForma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23.88"/>
    <col customWidth="1" min="4" max="4" width="36.5"/>
    <col customWidth="1" min="5" max="5" width="26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1" t="s">
        <v>1</v>
      </c>
      <c r="B2" s="2"/>
      <c r="C2" s="2"/>
      <c r="D2" s="2"/>
      <c r="E2" s="2"/>
      <c r="F2" s="1" t="s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2" t="s">
        <v>3</v>
      </c>
      <c r="B5" s="2" t="s">
        <v>4</v>
      </c>
      <c r="C5" s="2" t="s">
        <v>5</v>
      </c>
      <c r="D5" s="1" t="s">
        <v>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1" t="s">
        <v>7</v>
      </c>
      <c r="B6" s="1" t="s">
        <v>8</v>
      </c>
      <c r="C6" s="1" t="s">
        <v>9</v>
      </c>
      <c r="D6" s="1" t="s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1" t="s">
        <v>11</v>
      </c>
      <c r="B7" s="1" t="s">
        <v>12</v>
      </c>
      <c r="C7" s="1" t="s">
        <v>13</v>
      </c>
      <c r="D7" s="1" t="s">
        <v>14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1" t="s">
        <v>15</v>
      </c>
      <c r="B8" s="1" t="s">
        <v>16</v>
      </c>
      <c r="C8" s="1" t="s">
        <v>15</v>
      </c>
      <c r="D8" s="1" t="s">
        <v>17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1" t="s">
        <v>18</v>
      </c>
      <c r="B9" s="1" t="s">
        <v>19</v>
      </c>
      <c r="C9" s="1" t="s">
        <v>20</v>
      </c>
      <c r="D9" s="1" t="s">
        <v>21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3" t="s">
        <v>22</v>
      </c>
      <c r="B10" s="2" t="s">
        <v>23</v>
      </c>
      <c r="C10" s="2" t="s">
        <v>22</v>
      </c>
      <c r="D10" s="2" t="s">
        <v>24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1" t="s">
        <v>25</v>
      </c>
      <c r="B11" s="1" t="s">
        <v>26</v>
      </c>
      <c r="C11" s="1" t="s">
        <v>27</v>
      </c>
      <c r="D11" s="1" t="s">
        <v>25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3"/>
      <c r="B12" s="2"/>
      <c r="C12" s="2"/>
      <c r="D12" s="2"/>
      <c r="E12" s="2"/>
      <c r="F12" s="4"/>
      <c r="G12" s="4"/>
      <c r="H12" s="4"/>
      <c r="I12" s="4"/>
      <c r="J12" s="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5" t="s">
        <v>28</v>
      </c>
      <c r="B13" s="6"/>
      <c r="C13" s="6"/>
      <c r="D13" s="6"/>
      <c r="E13" s="6"/>
      <c r="F13" s="7" t="s">
        <v>29</v>
      </c>
      <c r="G13" s="8"/>
      <c r="H13" s="8"/>
      <c r="I13" s="8"/>
      <c r="J13" s="8"/>
      <c r="K13" s="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10" t="s">
        <v>30</v>
      </c>
      <c r="B14" s="11" t="s">
        <v>31</v>
      </c>
      <c r="C14" s="8"/>
      <c r="D14" s="8"/>
      <c r="E14" s="9"/>
      <c r="F14" s="12" t="s">
        <v>13</v>
      </c>
      <c r="G14" s="12" t="s">
        <v>9</v>
      </c>
      <c r="H14" s="12" t="s">
        <v>15</v>
      </c>
      <c r="I14" s="12" t="s">
        <v>32</v>
      </c>
      <c r="J14" s="13" t="s">
        <v>22</v>
      </c>
      <c r="K14" s="14" t="s">
        <v>18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15">
        <v>46045.0</v>
      </c>
      <c r="B15" s="16" t="s">
        <v>33</v>
      </c>
      <c r="C15" s="8"/>
      <c r="D15" s="8"/>
      <c r="E15" s="9"/>
      <c r="F15" s="17">
        <v>0.5</v>
      </c>
      <c r="G15" s="17">
        <v>0.5</v>
      </c>
      <c r="H15" s="17">
        <v>0.5</v>
      </c>
      <c r="I15" s="17">
        <v>0.5</v>
      </c>
      <c r="J15" s="17">
        <v>0.5</v>
      </c>
      <c r="K15" s="17">
        <v>0.5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15">
        <v>46046.0</v>
      </c>
      <c r="B16" s="18" t="s">
        <v>34</v>
      </c>
      <c r="C16" s="8"/>
      <c r="D16" s="8"/>
      <c r="E16" s="9"/>
      <c r="F16" s="19"/>
      <c r="G16" s="17">
        <v>3.5</v>
      </c>
      <c r="H16" s="19"/>
      <c r="I16" s="19"/>
      <c r="J16" s="19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15">
        <v>46047.0</v>
      </c>
      <c r="B17" s="16" t="s">
        <v>35</v>
      </c>
      <c r="C17" s="8"/>
      <c r="D17" s="8"/>
      <c r="E17" s="9"/>
      <c r="F17" s="19">
        <v>1.0</v>
      </c>
      <c r="G17" s="19">
        <v>1.0</v>
      </c>
      <c r="H17" s="19">
        <v>1.0</v>
      </c>
      <c r="I17" s="19">
        <v>1.0</v>
      </c>
      <c r="J17" s="19">
        <v>1.0</v>
      </c>
      <c r="K17" s="17">
        <v>1.0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15">
        <v>46052.0</v>
      </c>
      <c r="B18" s="18" t="s">
        <v>36</v>
      </c>
      <c r="C18" s="8"/>
      <c r="D18" s="8"/>
      <c r="E18" s="9"/>
      <c r="F18" s="17"/>
      <c r="G18" s="17"/>
      <c r="H18" s="17"/>
      <c r="I18" s="17"/>
      <c r="J18" s="17">
        <v>1.0</v>
      </c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15">
        <v>46052.0</v>
      </c>
      <c r="B19" s="16" t="s">
        <v>37</v>
      </c>
      <c r="C19" s="8"/>
      <c r="D19" s="8"/>
      <c r="E19" s="9"/>
      <c r="F19" s="17">
        <v>2.0</v>
      </c>
      <c r="G19" s="17">
        <v>2.0</v>
      </c>
      <c r="H19" s="17">
        <v>2.0</v>
      </c>
      <c r="I19" s="17">
        <v>2.0</v>
      </c>
      <c r="J19" s="17">
        <v>2.0</v>
      </c>
      <c r="K19" s="17">
        <v>2.0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15">
        <v>46053.0</v>
      </c>
      <c r="B20" s="18" t="s">
        <v>38</v>
      </c>
      <c r="C20" s="8"/>
      <c r="D20" s="8"/>
      <c r="E20" s="9"/>
      <c r="F20" s="17"/>
      <c r="G20" s="17"/>
      <c r="H20" s="17"/>
      <c r="I20" s="17"/>
      <c r="J20" s="17"/>
      <c r="K20" s="17">
        <v>8.5</v>
      </c>
      <c r="L20" s="1"/>
      <c r="M20" s="2"/>
      <c r="N20" s="2"/>
      <c r="O20" s="2"/>
      <c r="P20" s="1"/>
      <c r="Q20" s="1"/>
      <c r="R20" s="1"/>
      <c r="S20" s="1"/>
      <c r="T20" s="1"/>
      <c r="U20" s="2"/>
      <c r="V20" s="2"/>
    </row>
    <row r="21">
      <c r="A21" s="15">
        <v>46053.0</v>
      </c>
      <c r="B21" s="18" t="s">
        <v>39</v>
      </c>
      <c r="C21" s="8"/>
      <c r="D21" s="8"/>
      <c r="E21" s="9"/>
      <c r="F21" s="17"/>
      <c r="G21" s="17"/>
      <c r="H21" s="17"/>
      <c r="I21" s="17"/>
      <c r="J21" s="17">
        <v>1.0</v>
      </c>
      <c r="K21" s="1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15">
        <v>46053.0</v>
      </c>
      <c r="B22" s="18" t="s">
        <v>40</v>
      </c>
      <c r="C22" s="8"/>
      <c r="D22" s="8"/>
      <c r="E22" s="9"/>
      <c r="F22" s="17">
        <v>3.0</v>
      </c>
      <c r="G22" s="17"/>
      <c r="H22" s="17"/>
      <c r="I22" s="17"/>
      <c r="J22" s="17"/>
      <c r="K22" s="1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15">
        <v>46054.0</v>
      </c>
      <c r="B23" s="18" t="s">
        <v>41</v>
      </c>
      <c r="C23" s="8"/>
      <c r="D23" s="8"/>
      <c r="E23" s="9"/>
      <c r="F23" s="17"/>
      <c r="G23" s="17"/>
      <c r="H23" s="17"/>
      <c r="I23" s="17"/>
      <c r="J23" s="17"/>
      <c r="K23" s="17">
        <v>2.0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15">
        <v>46054.0</v>
      </c>
      <c r="B24" s="18" t="s">
        <v>42</v>
      </c>
      <c r="C24" s="8"/>
      <c r="D24" s="8"/>
      <c r="E24" s="9"/>
      <c r="F24" s="17"/>
      <c r="G24" s="17"/>
      <c r="H24" s="17"/>
      <c r="I24" s="17"/>
      <c r="J24" s="17">
        <v>4.0</v>
      </c>
      <c r="K24" s="1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15">
        <v>46054.0</v>
      </c>
      <c r="B25" s="18" t="s">
        <v>43</v>
      </c>
      <c r="C25" s="8"/>
      <c r="D25" s="8"/>
      <c r="E25" s="9"/>
      <c r="F25" s="17"/>
      <c r="G25" s="17"/>
      <c r="H25" s="17">
        <v>5.0</v>
      </c>
      <c r="I25" s="17"/>
      <c r="J25" s="17"/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15">
        <v>46055.0</v>
      </c>
      <c r="B26" s="18" t="s">
        <v>44</v>
      </c>
      <c r="C26" s="8"/>
      <c r="D26" s="8"/>
      <c r="E26" s="9"/>
      <c r="F26" s="17"/>
      <c r="G26" s="17"/>
      <c r="H26" s="17"/>
      <c r="I26" s="17"/>
      <c r="J26" s="17"/>
      <c r="K26" s="17">
        <v>2.25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15">
        <v>46055.0</v>
      </c>
      <c r="B27" s="18" t="s">
        <v>45</v>
      </c>
      <c r="C27" s="8"/>
      <c r="D27" s="8"/>
      <c r="E27" s="9"/>
      <c r="F27" s="17"/>
      <c r="G27" s="17">
        <v>7.0</v>
      </c>
      <c r="H27" s="17"/>
      <c r="I27" s="17"/>
      <c r="J27" s="17"/>
      <c r="K27" s="1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15">
        <v>46056.0</v>
      </c>
      <c r="B28" s="18" t="s">
        <v>46</v>
      </c>
      <c r="C28" s="8"/>
      <c r="D28" s="8"/>
      <c r="E28" s="9"/>
      <c r="F28" s="17"/>
      <c r="G28" s="17"/>
      <c r="H28" s="17"/>
      <c r="I28" s="17"/>
      <c r="J28" s="17">
        <v>2.5</v>
      </c>
      <c r="K28" s="1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15">
        <v>46056.0</v>
      </c>
      <c r="B29" s="18" t="s">
        <v>47</v>
      </c>
      <c r="C29" s="8"/>
      <c r="D29" s="8"/>
      <c r="E29" s="9"/>
      <c r="F29" s="17">
        <v>5.0</v>
      </c>
      <c r="G29" s="17"/>
      <c r="H29" s="17"/>
      <c r="I29" s="17"/>
      <c r="J29" s="17"/>
      <c r="K29" s="1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29.25" customHeight="1">
      <c r="A30" s="15">
        <v>46056.0</v>
      </c>
      <c r="B30" s="20" t="s">
        <v>48</v>
      </c>
      <c r="C30" s="8"/>
      <c r="D30" s="8"/>
      <c r="E30" s="9"/>
      <c r="F30" s="17"/>
      <c r="G30" s="17"/>
      <c r="H30" s="17"/>
      <c r="I30" s="17">
        <v>3.5</v>
      </c>
      <c r="J30" s="17"/>
      <c r="K30" s="1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15">
        <v>46056.0</v>
      </c>
      <c r="B31" s="16" t="s">
        <v>49</v>
      </c>
      <c r="C31" s="8"/>
      <c r="D31" s="8"/>
      <c r="E31" s="9"/>
      <c r="F31" s="17">
        <v>1.25</v>
      </c>
      <c r="G31" s="17">
        <v>1.25</v>
      </c>
      <c r="H31" s="17">
        <v>1.25</v>
      </c>
      <c r="I31" s="17">
        <v>1.25</v>
      </c>
      <c r="J31" s="17">
        <v>1.25</v>
      </c>
      <c r="K31" s="17">
        <v>0.25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15">
        <v>46057.0</v>
      </c>
      <c r="B32" s="18" t="s">
        <v>50</v>
      </c>
      <c r="C32" s="8"/>
      <c r="D32" s="8"/>
      <c r="E32" s="9"/>
      <c r="F32" s="17"/>
      <c r="G32" s="17"/>
      <c r="H32" s="17"/>
      <c r="I32" s="17">
        <v>4.0</v>
      </c>
      <c r="J32" s="17"/>
      <c r="K32" s="1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15">
        <v>46057.0</v>
      </c>
      <c r="B33" s="18" t="s">
        <v>51</v>
      </c>
      <c r="C33" s="8"/>
      <c r="D33" s="8"/>
      <c r="E33" s="9"/>
      <c r="F33" s="17"/>
      <c r="G33" s="17"/>
      <c r="H33" s="17">
        <v>6.0</v>
      </c>
      <c r="I33" s="17"/>
      <c r="J33" s="17"/>
      <c r="K33" s="1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15">
        <v>46057.0</v>
      </c>
      <c r="B34" s="18" t="s">
        <v>52</v>
      </c>
      <c r="C34" s="8"/>
      <c r="D34" s="8"/>
      <c r="E34" s="9"/>
      <c r="F34" s="17"/>
      <c r="G34" s="17"/>
      <c r="H34" s="17"/>
      <c r="I34" s="17"/>
      <c r="J34" s="17"/>
      <c r="K34" s="1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15">
        <v>46057.0</v>
      </c>
      <c r="B35" s="18" t="s">
        <v>53</v>
      </c>
      <c r="C35" s="8"/>
      <c r="D35" s="8"/>
      <c r="E35" s="9"/>
      <c r="F35" s="17"/>
      <c r="G35" s="17">
        <v>0.5</v>
      </c>
      <c r="H35" s="17"/>
      <c r="I35" s="17"/>
      <c r="J35" s="17">
        <v>0.5</v>
      </c>
      <c r="K35" s="17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17" t="s">
        <v>54</v>
      </c>
      <c r="B36" s="18" t="s">
        <v>55</v>
      </c>
      <c r="C36" s="8"/>
      <c r="D36" s="8"/>
      <c r="E36" s="9"/>
      <c r="F36" s="17"/>
      <c r="G36" s="17">
        <v>7.5</v>
      </c>
      <c r="H36" s="17"/>
      <c r="I36" s="17"/>
      <c r="J36" s="17"/>
      <c r="K36" s="17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15">
        <v>46058.0</v>
      </c>
      <c r="B37" s="18" t="s">
        <v>56</v>
      </c>
      <c r="C37" s="8"/>
      <c r="D37" s="8"/>
      <c r="E37" s="9"/>
      <c r="F37" s="17">
        <v>5.0</v>
      </c>
      <c r="G37" s="17"/>
      <c r="H37" s="17"/>
      <c r="I37" s="17"/>
      <c r="J37" s="17"/>
      <c r="K37" s="17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15">
        <v>45693.0</v>
      </c>
      <c r="B38" s="18" t="s">
        <v>57</v>
      </c>
      <c r="C38" s="8"/>
      <c r="D38" s="8"/>
      <c r="E38" s="9"/>
      <c r="F38" s="17">
        <v>2.5</v>
      </c>
      <c r="G38" s="17"/>
      <c r="H38" s="17"/>
      <c r="I38" s="17">
        <v>2.5</v>
      </c>
      <c r="J38" s="17">
        <v>2.5</v>
      </c>
      <c r="K38" s="1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21">
        <v>45694.0</v>
      </c>
      <c r="B39" s="22" t="s">
        <v>58</v>
      </c>
      <c r="C39" s="8"/>
      <c r="D39" s="8"/>
      <c r="E39" s="9"/>
      <c r="F39" s="23"/>
      <c r="G39" s="17">
        <v>3.5</v>
      </c>
      <c r="H39" s="23"/>
      <c r="I39" s="23"/>
      <c r="J39" s="17">
        <v>4.0</v>
      </c>
      <c r="K39" s="24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25"/>
      <c r="B40" s="25"/>
      <c r="C40" s="25"/>
      <c r="D40" s="25"/>
      <c r="E40" s="25"/>
      <c r="F40" s="26"/>
      <c r="G40" s="26"/>
      <c r="H40" s="26"/>
      <c r="I40" s="26"/>
      <c r="J40" s="2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25"/>
      <c r="B41" s="25"/>
      <c r="C41" s="25"/>
      <c r="D41" s="25"/>
      <c r="E41" s="25"/>
      <c r="F41" s="26"/>
      <c r="G41" s="26"/>
      <c r="H41" s="26"/>
      <c r="I41" s="26"/>
      <c r="J41" s="2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25" t="s">
        <v>59</v>
      </c>
      <c r="F42" s="26">
        <f t="shared" ref="F42:K42" si="1">SUM(F14:F39)</f>
        <v>20.25</v>
      </c>
      <c r="G42" s="26">
        <f t="shared" si="1"/>
        <v>26.75</v>
      </c>
      <c r="H42" s="26">
        <f t="shared" si="1"/>
        <v>15.75</v>
      </c>
      <c r="I42" s="26">
        <f t="shared" si="1"/>
        <v>14.75</v>
      </c>
      <c r="J42" s="26">
        <f t="shared" si="1"/>
        <v>20.25</v>
      </c>
      <c r="K42" s="26">
        <f t="shared" si="1"/>
        <v>16.5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27"/>
      <c r="B44" s="2"/>
      <c r="C44" s="2"/>
      <c r="D44" s="2"/>
      <c r="E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27"/>
      <c r="B45" s="2"/>
      <c r="C45" s="2"/>
      <c r="D45" s="2"/>
      <c r="E45" s="2"/>
      <c r="F45" s="2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27"/>
      <c r="B46" s="2"/>
      <c r="C46" s="2"/>
      <c r="D46" s="2"/>
      <c r="E46" s="2"/>
      <c r="F46" s="2"/>
      <c r="G46" s="2"/>
      <c r="H46" s="2"/>
      <c r="I46" s="28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27"/>
      <c r="B47" s="2"/>
      <c r="C47" s="2"/>
      <c r="D47" s="2"/>
      <c r="E47" s="2"/>
      <c r="F47" s="2"/>
      <c r="G47" s="2"/>
      <c r="H47" s="2"/>
      <c r="I47" s="2"/>
      <c r="J47" s="28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27"/>
      <c r="B48" s="2"/>
      <c r="C48" s="2"/>
      <c r="D48" s="2"/>
      <c r="E48" s="2"/>
      <c r="F48" s="2"/>
      <c r="G48" s="2"/>
      <c r="H48" s="2"/>
      <c r="I48" s="2"/>
      <c r="J48" s="28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27"/>
      <c r="B49" s="2"/>
      <c r="C49" s="2"/>
      <c r="D49" s="2"/>
      <c r="E49" s="2"/>
      <c r="F49" s="2"/>
      <c r="G49" s="2"/>
      <c r="H49" s="28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27"/>
      <c r="B50" s="2"/>
      <c r="C50" s="2"/>
      <c r="D50" s="2"/>
      <c r="E50" s="2"/>
      <c r="F50" s="2"/>
      <c r="G50" s="28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27"/>
      <c r="B51" s="2"/>
      <c r="C51" s="2"/>
      <c r="D51" s="2"/>
      <c r="E51" s="2"/>
      <c r="F51" s="2"/>
      <c r="G51" s="2"/>
      <c r="H51" s="28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27"/>
      <c r="B52" s="2"/>
      <c r="C52" s="2"/>
      <c r="D52" s="2"/>
      <c r="E52" s="2"/>
      <c r="F52" s="2"/>
      <c r="G52" s="2"/>
      <c r="H52" s="2"/>
      <c r="I52" s="28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27"/>
      <c r="B53" s="2"/>
      <c r="C53" s="2"/>
      <c r="D53" s="2"/>
      <c r="E53" s="2"/>
      <c r="F53" s="2"/>
      <c r="G53" s="2"/>
      <c r="H53" s="2"/>
      <c r="I53" s="2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27"/>
      <c r="B54" s="2"/>
      <c r="C54" s="2"/>
      <c r="D54" s="2"/>
      <c r="E54" s="2"/>
      <c r="F54" s="2"/>
      <c r="G54" s="2"/>
      <c r="H54" s="2"/>
      <c r="I54" s="2"/>
      <c r="J54" s="28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27"/>
      <c r="B55" s="2"/>
      <c r="C55" s="2"/>
      <c r="D55" s="2"/>
      <c r="E55" s="2"/>
      <c r="F55" s="2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27"/>
      <c r="B56" s="2"/>
      <c r="C56" s="2"/>
      <c r="D56" s="2"/>
      <c r="E56" s="2"/>
      <c r="F56" s="28"/>
      <c r="G56" s="28"/>
      <c r="H56" s="28"/>
      <c r="I56" s="28"/>
      <c r="J56" s="28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27"/>
      <c r="B57" s="2"/>
      <c r="C57" s="2"/>
      <c r="D57" s="2"/>
      <c r="E57" s="2"/>
      <c r="F57" s="2"/>
      <c r="G57" s="28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27"/>
      <c r="B58" s="2"/>
      <c r="C58" s="2"/>
      <c r="D58" s="2"/>
      <c r="E58" s="2"/>
      <c r="F58" s="1"/>
      <c r="G58" s="2"/>
      <c r="H58" s="2"/>
      <c r="I58" s="2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2"/>
      <c r="B61" s="2"/>
      <c r="C61" s="2"/>
      <c r="D61" s="2"/>
      <c r="E61" s="2"/>
      <c r="F61" s="28"/>
      <c r="G61" s="28"/>
      <c r="H61" s="28"/>
      <c r="I61" s="28"/>
      <c r="J61" s="28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</row>
  </sheetData>
  <mergeCells count="28">
    <mergeCell ref="F13:K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34:E34"/>
    <mergeCell ref="B35:E35"/>
    <mergeCell ref="B36:E36"/>
    <mergeCell ref="B37:E37"/>
    <mergeCell ref="B38:E38"/>
    <mergeCell ref="B39:E39"/>
    <mergeCell ref="A42:E42"/>
    <mergeCell ref="B27:E27"/>
    <mergeCell ref="B28:E28"/>
    <mergeCell ref="B29:E29"/>
    <mergeCell ref="B30:E30"/>
    <mergeCell ref="B31:E31"/>
    <mergeCell ref="B32:E32"/>
    <mergeCell ref="B33:E3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